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C5B8A35-AEFF-4AE8-8368-1E7D2D888D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ldings" sheetId="2" r:id="rId1"/>
  </sheets>
  <calcPr calcId="191029"/>
  <extLst>
    <ext uri="GoogleSheetsCustomDataVersion2">
      <go:sheetsCustomData xmlns:go="http://customooxmlschemas.google.com/" r:id="rId10" roundtripDataChecksum="DZoZMOE0a9nJ2KXTBp1IaRA10JzEjN3VKee1kQpWZAM="/>
    </ext>
  </extLst>
</workbook>
</file>

<file path=xl/calcChain.xml><?xml version="1.0" encoding="utf-8"?>
<calcChain xmlns="http://schemas.openxmlformats.org/spreadsheetml/2006/main">
  <c r="K13" i="2" l="1"/>
  <c r="L13" i="2" s="1"/>
  <c r="J13" i="2"/>
  <c r="H13" i="2"/>
  <c r="J12" i="2"/>
  <c r="H12" i="2"/>
  <c r="J11" i="2"/>
  <c r="K11" i="2" s="1"/>
  <c r="L11" i="2" s="1"/>
  <c r="H11" i="2"/>
  <c r="J10" i="2"/>
  <c r="K10" i="2" s="1"/>
  <c r="L10" i="2" s="1"/>
  <c r="H10" i="2"/>
  <c r="K9" i="2"/>
  <c r="L9" i="2" s="1"/>
  <c r="J9" i="2"/>
  <c r="H9" i="2"/>
  <c r="J8" i="2"/>
  <c r="H8" i="2"/>
  <c r="J7" i="2"/>
  <c r="K7" i="2" s="1"/>
  <c r="L7" i="2" s="1"/>
  <c r="H7" i="2"/>
  <c r="J6" i="2"/>
  <c r="K6" i="2" s="1"/>
  <c r="L6" i="2" s="1"/>
  <c r="H6" i="2"/>
  <c r="K5" i="2"/>
  <c r="L5" i="2" s="1"/>
  <c r="J5" i="2"/>
  <c r="H5" i="2"/>
  <c r="J4" i="2"/>
  <c r="H4" i="2"/>
  <c r="J3" i="2"/>
  <c r="H3" i="2"/>
  <c r="K3" i="2" s="1"/>
  <c r="L3" i="2" s="1"/>
  <c r="J2" i="2"/>
  <c r="K2" i="2" s="1"/>
  <c r="L2" i="2" s="1"/>
  <c r="H2" i="2"/>
  <c r="H14" i="2" s="1"/>
  <c r="J14" i="2" l="1"/>
  <c r="M12" i="2" s="1"/>
  <c r="K4" i="2"/>
  <c r="L4" i="2" s="1"/>
  <c r="K8" i="2"/>
  <c r="L8" i="2" s="1"/>
  <c r="K12" i="2"/>
  <c r="L12" i="2" s="1"/>
  <c r="M8" i="2" l="1"/>
  <c r="K14" i="2"/>
  <c r="L14" i="2" s="1"/>
  <c r="M7" i="2"/>
  <c r="M13" i="2"/>
  <c r="M9" i="2"/>
  <c r="M5" i="2"/>
  <c r="M11" i="2"/>
  <c r="M3" i="2"/>
  <c r="M6" i="2"/>
  <c r="M10" i="2"/>
  <c r="M2" i="2"/>
  <c r="M4" i="2"/>
  <c r="M14" i="2" l="1"/>
</calcChain>
</file>

<file path=xl/sharedStrings.xml><?xml version="1.0" encoding="utf-8"?>
<sst xmlns="http://schemas.openxmlformats.org/spreadsheetml/2006/main" count="62" uniqueCount="42">
  <si>
    <t>Sl No</t>
  </si>
  <si>
    <t>NSE Code</t>
  </si>
  <si>
    <t>Sector</t>
  </si>
  <si>
    <t>Market Cap</t>
  </si>
  <si>
    <t>Type</t>
  </si>
  <si>
    <t>Quantity</t>
  </si>
  <si>
    <t>Avg Buy Price</t>
  </si>
  <si>
    <t xml:space="preserve">Buy Value </t>
  </si>
  <si>
    <t>LTP ( 24.8.26)</t>
  </si>
  <si>
    <t>Closing value</t>
  </si>
  <si>
    <t>Unrealised P&amp;L</t>
  </si>
  <si>
    <t>Unrealised P&amp;L(%)</t>
  </si>
  <si>
    <t>Allocation</t>
  </si>
  <si>
    <t>CUPID</t>
  </si>
  <si>
    <t>FMCG</t>
  </si>
  <si>
    <t>Small Cap</t>
  </si>
  <si>
    <t>Stock</t>
  </si>
  <si>
    <t>AZAD</t>
  </si>
  <si>
    <t>NAVINFLUOR</t>
  </si>
  <si>
    <t>Chemicals</t>
  </si>
  <si>
    <t>Mid Cap</t>
  </si>
  <si>
    <t>METAL</t>
  </si>
  <si>
    <t>Commodity</t>
  </si>
  <si>
    <t>Large Cap</t>
  </si>
  <si>
    <t>ETF</t>
  </si>
  <si>
    <t>MOTHERSON</t>
  </si>
  <si>
    <t>Auto Ancillaries</t>
  </si>
  <si>
    <t>Pharmaceuticals</t>
  </si>
  <si>
    <t>SAKAR</t>
  </si>
  <si>
    <t>Healthcare</t>
  </si>
  <si>
    <t>Finance</t>
  </si>
  <si>
    <t>Retail</t>
  </si>
  <si>
    <t>Electronics</t>
  </si>
  <si>
    <t>Power Generation &amp; Distribution</t>
  </si>
  <si>
    <t>VIJAYA</t>
  </si>
  <si>
    <t>Aerospace &amp; Defence</t>
  </si>
  <si>
    <t>SGFIN</t>
  </si>
  <si>
    <t>EMIL</t>
  </si>
  <si>
    <t>SYRMA</t>
  </si>
  <si>
    <t>ADANIPOWER</t>
  </si>
  <si>
    <t>SILVERIETF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</si>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</sst>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"/>
    <numFmt numFmtId="165" formatCode="&quot;₹&quot;\ #,##0"/>
    <numFmt numFmtId="166" formatCode="0.0%"/>
    <numFmt numFmtId="167" formatCode="0.000000000000000%"/>
  </numFmts>
  <fonts count="6" x14ac:knownFonts="1">
    <font>
      <sz val="11"/>
      <color theme="1"/>
      <name val="Calibri"/>
      <scheme val="minor"/>
    </font>
    <font>
      <b/>
      <sz val="11"/>
      <color rgb="FFF2F2F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2" fillId="0" borderId="0" xfId="0" applyNumberFormat="1" applyFont="1" applyAlignment="1">
      <alignment horizontal="right" wrapText="1"/>
    </xf>
    <xf numFmtId="164" fontId="2" fillId="0" borderId="0" xfId="0" applyNumberFormat="1" applyFont="1"/>
    <xf numFmtId="165" fontId="3" fillId="0" borderId="0" xfId="0" applyNumberFormat="1" applyFont="1"/>
    <xf numFmtId="166" fontId="2" fillId="0" borderId="0" xfId="0" applyNumberFormat="1" applyFont="1"/>
    <xf numFmtId="166" fontId="3" fillId="0" borderId="0" xfId="0" applyNumberFormat="1" applyFont="1"/>
    <xf numFmtId="0" fontId="4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/>
    <xf numFmtId="164" fontId="4" fillId="0" borderId="2" xfId="0" applyNumberFormat="1" applyFont="1" applyBorder="1" applyAlignment="1">
      <alignment horizontal="right" wrapText="1"/>
    </xf>
    <xf numFmtId="165" fontId="5" fillId="0" borderId="2" xfId="0" applyNumberFormat="1" applyFont="1" applyBorder="1"/>
    <xf numFmtId="166" fontId="5" fillId="0" borderId="2" xfId="0" applyNumberFormat="1" applyFont="1" applyBorder="1"/>
    <xf numFmtId="167" fontId="2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G17" sqref="G17"/>
    </sheetView>
  </sheetViews>
  <sheetFormatPr defaultColWidth="14.44140625" defaultRowHeight="15" customHeight="1" x14ac:dyDescent="0.3"/>
  <cols>
    <col min="1" max="1" width="5.33203125" customWidth="1"/>
    <col min="2" max="2" width="13.5546875" customWidth="1"/>
    <col min="3" max="3" width="30.6640625" customWidth="1"/>
    <col min="4" max="4" width="10.6640625" customWidth="1"/>
    <col min="5" max="5" width="9.5546875" customWidth="1"/>
    <col min="6" max="6" width="8.5546875" customWidth="1"/>
    <col min="7" max="7" width="12.6640625" customWidth="1"/>
    <col min="8" max="8" width="13.33203125" customWidth="1"/>
    <col min="9" max="9" width="13.6640625" customWidth="1"/>
    <col min="10" max="10" width="12.6640625" customWidth="1"/>
    <col min="11" max="11" width="13.88671875" customWidth="1"/>
    <col min="12" max="12" width="16.6640625" customWidth="1"/>
    <col min="13" max="13" width="9.5546875" customWidth="1"/>
    <col min="14" max="14" width="11.44140625" customWidth="1"/>
    <col min="15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26" ht="14.25" customHeight="1" x14ac:dyDescent="0.3">
      <c r="A2" s="4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124</v>
      </c>
      <c r="G2" s="7">
        <v>262.3741935483871</v>
      </c>
      <c r="H2" s="7">
        <f t="shared" ref="H2:H13" si="0">G2*F2</f>
        <v>32534.400000000001</v>
      </c>
      <c r="I2" s="8">
        <v>286.12</v>
      </c>
      <c r="J2" s="7">
        <f t="shared" ref="J2:J13" si="1">I2*F2</f>
        <v>35478.879999999997</v>
      </c>
      <c r="K2" s="10">
        <f t="shared" ref="K2:K14" si="2">J2-H2</f>
        <v>2944.4799999999959</v>
      </c>
      <c r="L2" s="12">
        <f t="shared" ref="L2:L14" si="3">K2/H2</f>
        <v>9.0503590046227864E-2</v>
      </c>
      <c r="M2" s="12">
        <f t="shared" ref="M2:M13" si="4">J2/$J$14</f>
        <v>0.12612608321036423</v>
      </c>
    </row>
    <row r="3" spans="1:26" ht="14.25" customHeight="1" x14ac:dyDescent="0.3">
      <c r="A3" s="4">
        <v>2</v>
      </c>
      <c r="B3" s="5" t="s">
        <v>18</v>
      </c>
      <c r="C3" s="5" t="s">
        <v>19</v>
      </c>
      <c r="D3" s="5" t="s">
        <v>20</v>
      </c>
      <c r="E3" s="5" t="s">
        <v>16</v>
      </c>
      <c r="F3" s="6">
        <v>4</v>
      </c>
      <c r="G3" s="7">
        <v>8392.5</v>
      </c>
      <c r="H3" s="7">
        <f t="shared" si="0"/>
        <v>33570</v>
      </c>
      <c r="I3" s="8">
        <v>8163.5</v>
      </c>
      <c r="J3" s="7">
        <f t="shared" si="1"/>
        <v>32654</v>
      </c>
      <c r="K3" s="10">
        <f t="shared" si="2"/>
        <v>-916</v>
      </c>
      <c r="L3" s="12">
        <f t="shared" si="3"/>
        <v>-2.7286267500744713E-2</v>
      </c>
      <c r="M3" s="12">
        <f t="shared" si="4"/>
        <v>0.11608374112010394</v>
      </c>
    </row>
    <row r="4" spans="1:26" ht="14.25" customHeight="1" x14ac:dyDescent="0.3">
      <c r="A4" s="4">
        <v>3</v>
      </c>
      <c r="B4" s="5" t="s">
        <v>21</v>
      </c>
      <c r="C4" s="5" t="s">
        <v>22</v>
      </c>
      <c r="D4" s="5" t="s">
        <v>23</v>
      </c>
      <c r="E4" s="5" t="s">
        <v>24</v>
      </c>
      <c r="F4" s="6">
        <v>2300</v>
      </c>
      <c r="G4" s="7">
        <v>12.99</v>
      </c>
      <c r="H4" s="7">
        <f t="shared" si="0"/>
        <v>29877</v>
      </c>
      <c r="I4" s="9">
        <v>13.42</v>
      </c>
      <c r="J4" s="7">
        <f t="shared" si="1"/>
        <v>30866</v>
      </c>
      <c r="K4" s="10">
        <f t="shared" si="2"/>
        <v>989</v>
      </c>
      <c r="L4" s="12">
        <f t="shared" si="3"/>
        <v>3.3102386451116246E-2</v>
      </c>
      <c r="M4" s="12">
        <f t="shared" si="4"/>
        <v>0.10972746840856031</v>
      </c>
    </row>
    <row r="5" spans="1:26" ht="14.25" customHeight="1" x14ac:dyDescent="0.3">
      <c r="A5" s="4">
        <v>4</v>
      </c>
      <c r="B5" s="5" t="s">
        <v>25</v>
      </c>
      <c r="C5" s="5" t="s">
        <v>26</v>
      </c>
      <c r="D5" s="5" t="s">
        <v>23</v>
      </c>
      <c r="E5" s="5" t="s">
        <v>16</v>
      </c>
      <c r="F5" s="6">
        <v>180</v>
      </c>
      <c r="G5" s="7">
        <v>171.12438888888889</v>
      </c>
      <c r="H5" s="7">
        <f t="shared" si="0"/>
        <v>30802.39</v>
      </c>
      <c r="I5" s="9">
        <v>167.71</v>
      </c>
      <c r="J5" s="7">
        <f t="shared" si="1"/>
        <v>30187.800000000003</v>
      </c>
      <c r="K5" s="10">
        <f t="shared" si="2"/>
        <v>-614.58999999999651</v>
      </c>
      <c r="L5" s="12">
        <f t="shared" si="3"/>
        <v>-1.9952672503659504E-2</v>
      </c>
      <c r="M5" s="12">
        <f t="shared" si="4"/>
        <v>0.10731649293150837</v>
      </c>
    </row>
    <row r="6" spans="1:26" ht="14.25" customHeight="1" x14ac:dyDescent="0.3">
      <c r="A6" s="4">
        <v>5</v>
      </c>
      <c r="B6" s="5" t="s">
        <v>28</v>
      </c>
      <c r="C6" s="5" t="s">
        <v>27</v>
      </c>
      <c r="D6" s="5" t="s">
        <v>15</v>
      </c>
      <c r="E6" s="5" t="s">
        <v>16</v>
      </c>
      <c r="F6" s="6">
        <v>33</v>
      </c>
      <c r="G6" s="7">
        <v>923.58484848484841</v>
      </c>
      <c r="H6" s="7">
        <f t="shared" si="0"/>
        <v>30478.299999999996</v>
      </c>
      <c r="I6" s="9">
        <v>905.4</v>
      </c>
      <c r="J6" s="7">
        <f t="shared" si="1"/>
        <v>29878.2</v>
      </c>
      <c r="K6" s="10">
        <f t="shared" si="2"/>
        <v>-600.09999999999491</v>
      </c>
      <c r="L6" s="12">
        <f t="shared" si="3"/>
        <v>-1.9689418373071824E-2</v>
      </c>
      <c r="M6" s="12">
        <f t="shared" si="4"/>
        <v>0.10621587658279812</v>
      </c>
    </row>
    <row r="7" spans="1:26" ht="14.25" customHeight="1" x14ac:dyDescent="0.3">
      <c r="A7" s="4">
        <v>6</v>
      </c>
      <c r="B7" s="5" t="s">
        <v>34</v>
      </c>
      <c r="C7" s="5" t="s">
        <v>29</v>
      </c>
      <c r="D7" s="5" t="s">
        <v>15</v>
      </c>
      <c r="E7" s="5" t="s">
        <v>16</v>
      </c>
      <c r="F7" s="6">
        <v>20</v>
      </c>
      <c r="G7" s="7">
        <v>1465</v>
      </c>
      <c r="H7" s="7">
        <f t="shared" si="0"/>
        <v>29300</v>
      </c>
      <c r="I7" s="8">
        <v>1480.7</v>
      </c>
      <c r="J7" s="7">
        <f t="shared" si="1"/>
        <v>29614</v>
      </c>
      <c r="K7" s="10">
        <f t="shared" si="2"/>
        <v>314</v>
      </c>
      <c r="L7" s="12">
        <f t="shared" si="3"/>
        <v>1.0716723549488055E-2</v>
      </c>
      <c r="M7" s="12">
        <f t="shared" si="4"/>
        <v>0.10527665552553311</v>
      </c>
    </row>
    <row r="8" spans="1:26" ht="14.25" customHeight="1" x14ac:dyDescent="0.3">
      <c r="A8" s="4">
        <v>7</v>
      </c>
      <c r="B8" s="5" t="s">
        <v>36</v>
      </c>
      <c r="C8" s="5" t="s">
        <v>30</v>
      </c>
      <c r="D8" s="5" t="s">
        <v>15</v>
      </c>
      <c r="E8" s="5" t="s">
        <v>16</v>
      </c>
      <c r="F8" s="6">
        <v>42</v>
      </c>
      <c r="G8" s="7">
        <v>713.09523809523807</v>
      </c>
      <c r="H8" s="7">
        <f t="shared" si="0"/>
        <v>29950</v>
      </c>
      <c r="I8" s="9">
        <v>696.4</v>
      </c>
      <c r="J8" s="7">
        <f t="shared" si="1"/>
        <v>29248.799999999999</v>
      </c>
      <c r="K8" s="10">
        <f t="shared" si="2"/>
        <v>-701.20000000000073</v>
      </c>
      <c r="L8" s="12">
        <f t="shared" si="3"/>
        <v>-2.3412353923205367E-2</v>
      </c>
      <c r="M8" s="12">
        <f t="shared" si="4"/>
        <v>0.10397838326923796</v>
      </c>
    </row>
    <row r="9" spans="1:26" ht="14.25" customHeight="1" x14ac:dyDescent="0.3">
      <c r="A9" s="4">
        <v>8</v>
      </c>
      <c r="B9" s="5" t="s">
        <v>37</v>
      </c>
      <c r="C9" s="5" t="s">
        <v>31</v>
      </c>
      <c r="D9" s="5" t="s">
        <v>15</v>
      </c>
      <c r="E9" s="5" t="s">
        <v>16</v>
      </c>
      <c r="F9" s="6">
        <v>156</v>
      </c>
      <c r="G9" s="7">
        <v>192.24089743589744</v>
      </c>
      <c r="H9" s="7">
        <f t="shared" si="0"/>
        <v>29989.58</v>
      </c>
      <c r="I9" s="8">
        <v>183.05</v>
      </c>
      <c r="J9" s="7">
        <f t="shared" si="1"/>
        <v>28555.800000000003</v>
      </c>
      <c r="K9" s="10">
        <f t="shared" si="2"/>
        <v>-1433.7799999999988</v>
      </c>
      <c r="L9" s="12">
        <f t="shared" si="3"/>
        <v>-4.7809272420620719E-2</v>
      </c>
      <c r="M9" s="12">
        <f t="shared" si="4"/>
        <v>0.10151479434915982</v>
      </c>
    </row>
    <row r="10" spans="1:26" ht="14.25" customHeight="1" x14ac:dyDescent="0.3">
      <c r="A10" s="4">
        <v>9</v>
      </c>
      <c r="B10" s="5" t="s">
        <v>38</v>
      </c>
      <c r="C10" s="5" t="s">
        <v>32</v>
      </c>
      <c r="D10" s="5" t="s">
        <v>15</v>
      </c>
      <c r="E10" s="5" t="s">
        <v>16</v>
      </c>
      <c r="F10" s="6">
        <v>7</v>
      </c>
      <c r="G10" s="7">
        <v>1415.7142857142858</v>
      </c>
      <c r="H10" s="7">
        <f t="shared" si="0"/>
        <v>9910</v>
      </c>
      <c r="I10" s="9">
        <v>1452.1</v>
      </c>
      <c r="J10" s="7">
        <f t="shared" si="1"/>
        <v>10164.699999999999</v>
      </c>
      <c r="K10" s="10">
        <f t="shared" si="2"/>
        <v>254.69999999999891</v>
      </c>
      <c r="L10" s="12">
        <f t="shared" si="3"/>
        <v>2.5701311806256198E-2</v>
      </c>
      <c r="M10" s="12">
        <f t="shared" si="4"/>
        <v>3.6135125968136228E-2</v>
      </c>
    </row>
    <row r="11" spans="1:26" ht="14.25" customHeight="1" x14ac:dyDescent="0.3">
      <c r="A11" s="4">
        <v>10</v>
      </c>
      <c r="B11" s="5" t="s">
        <v>39</v>
      </c>
      <c r="C11" s="5" t="s">
        <v>33</v>
      </c>
      <c r="D11" s="5" t="s">
        <v>23</v>
      </c>
      <c r="E11" s="5" t="s">
        <v>16</v>
      </c>
      <c r="F11" s="6">
        <v>50</v>
      </c>
      <c r="G11" s="7">
        <v>219.2</v>
      </c>
      <c r="H11" s="7">
        <f t="shared" si="0"/>
        <v>10960</v>
      </c>
      <c r="I11" s="8">
        <v>202.8</v>
      </c>
      <c r="J11" s="7">
        <f t="shared" si="1"/>
        <v>10140</v>
      </c>
      <c r="K11" s="10">
        <f t="shared" si="2"/>
        <v>-820</v>
      </c>
      <c r="L11" s="12">
        <f t="shared" si="3"/>
        <v>-7.4817518248175188E-2</v>
      </c>
      <c r="M11" s="12">
        <f t="shared" si="4"/>
        <v>3.6047318397680342E-2</v>
      </c>
    </row>
    <row r="12" spans="1:26" ht="14.25" customHeight="1" x14ac:dyDescent="0.3">
      <c r="A12" s="4">
        <v>11</v>
      </c>
      <c r="B12" s="5" t="s">
        <v>17</v>
      </c>
      <c r="C12" s="5" t="s">
        <v>35</v>
      </c>
      <c r="D12" s="5" t="s">
        <v>15</v>
      </c>
      <c r="E12" s="5" t="s">
        <v>16</v>
      </c>
      <c r="F12" s="6">
        <v>3</v>
      </c>
      <c r="G12" s="7">
        <v>2573.5333333333333</v>
      </c>
      <c r="H12" s="7">
        <f t="shared" si="0"/>
        <v>7720.6</v>
      </c>
      <c r="I12" s="9">
        <v>2813.5</v>
      </c>
      <c r="J12" s="7">
        <f t="shared" si="1"/>
        <v>8440.5</v>
      </c>
      <c r="K12" s="10">
        <f t="shared" si="2"/>
        <v>719.89999999999964</v>
      </c>
      <c r="L12" s="12">
        <f t="shared" si="3"/>
        <v>9.3244048390021456E-2</v>
      </c>
      <c r="M12" s="12">
        <f t="shared" si="4"/>
        <v>3.000565985558392E-2</v>
      </c>
    </row>
    <row r="13" spans="1:26" ht="14.25" customHeight="1" x14ac:dyDescent="0.3">
      <c r="A13" s="4">
        <v>12</v>
      </c>
      <c r="B13" s="5" t="s">
        <v>40</v>
      </c>
      <c r="C13" s="5" t="s">
        <v>22</v>
      </c>
      <c r="D13" s="5" t="s">
        <v>23</v>
      </c>
      <c r="E13" s="5" t="s">
        <v>24</v>
      </c>
      <c r="F13" s="6">
        <v>25</v>
      </c>
      <c r="G13" s="7">
        <v>238.74</v>
      </c>
      <c r="H13" s="7">
        <f t="shared" si="0"/>
        <v>5968.5</v>
      </c>
      <c r="I13" s="8">
        <v>242.73</v>
      </c>
      <c r="J13" s="7">
        <f t="shared" si="1"/>
        <v>6068.25</v>
      </c>
      <c r="K13" s="10">
        <f t="shared" si="2"/>
        <v>99.75</v>
      </c>
      <c r="L13" s="12">
        <f t="shared" si="3"/>
        <v>1.671274189494848E-2</v>
      </c>
      <c r="M13" s="12">
        <f t="shared" si="4"/>
        <v>2.1572400381333703E-2</v>
      </c>
    </row>
    <row r="14" spans="1:26" ht="14.25" customHeight="1" x14ac:dyDescent="0.3">
      <c r="A14" s="14"/>
      <c r="B14" s="14" t="s">
        <v>41</v>
      </c>
      <c r="C14" s="15"/>
      <c r="D14" s="15"/>
      <c r="E14" s="15"/>
      <c r="F14" s="16"/>
      <c r="G14" s="17"/>
      <c r="H14" s="17">
        <f>SUM(H2:H13)</f>
        <v>281060.76999999996</v>
      </c>
      <c r="I14" s="18"/>
      <c r="J14" s="17">
        <f>SUM(J2:J13)</f>
        <v>281296.93</v>
      </c>
      <c r="K14" s="19">
        <f t="shared" si="2"/>
        <v>236.1600000000326</v>
      </c>
      <c r="L14" s="20">
        <f t="shared" si="3"/>
        <v>8.4024533199717854E-4</v>
      </c>
      <c r="M14" s="20">
        <f>SUM(M2:M13)</f>
        <v>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 x14ac:dyDescent="0.3">
      <c r="B15" s="5"/>
      <c r="C15" s="5"/>
      <c r="D15" s="5"/>
      <c r="E15" s="5"/>
      <c r="F15" s="6"/>
      <c r="G15" s="7"/>
      <c r="H15" s="7"/>
      <c r="J15" s="7"/>
      <c r="K15" s="10"/>
      <c r="L15" s="12"/>
      <c r="M15" s="12"/>
    </row>
    <row r="16" spans="1:26" ht="14.25" customHeight="1" x14ac:dyDescent="0.3">
      <c r="C16" s="5"/>
      <c r="D16" s="5"/>
      <c r="E16" s="5"/>
      <c r="F16" s="6"/>
      <c r="G16" s="7"/>
      <c r="H16" s="7"/>
      <c r="I16" s="8"/>
      <c r="J16" s="7"/>
      <c r="K16" s="10"/>
      <c r="L16" s="12"/>
      <c r="M16" s="12"/>
    </row>
    <row r="17" spans="2:14" ht="14.25" customHeight="1" x14ac:dyDescent="0.3">
      <c r="B17" s="5"/>
      <c r="C17" s="5"/>
      <c r="D17" s="5"/>
      <c r="E17" s="5"/>
      <c r="F17" s="6"/>
      <c r="G17" s="7"/>
      <c r="H17" s="7"/>
      <c r="J17" s="7"/>
      <c r="K17" s="10"/>
      <c r="L17" s="12"/>
      <c r="M17" s="12"/>
    </row>
    <row r="18" spans="2:14" ht="14.25" customHeight="1" x14ac:dyDescent="0.3">
      <c r="B18" s="5"/>
      <c r="C18" s="5"/>
      <c r="D18" s="5"/>
      <c r="E18" s="5"/>
      <c r="F18" s="6"/>
      <c r="G18" s="7"/>
      <c r="H18" s="7"/>
      <c r="J18" s="7"/>
      <c r="K18" s="10"/>
      <c r="L18" s="12"/>
      <c r="M18" s="12"/>
    </row>
    <row r="19" spans="2:14" ht="14.25" customHeight="1" x14ac:dyDescent="0.3">
      <c r="C19" s="5"/>
      <c r="D19" s="5"/>
      <c r="E19" s="5"/>
      <c r="F19" s="6"/>
      <c r="G19" s="7"/>
      <c r="H19" s="7"/>
      <c r="I19" s="8"/>
      <c r="J19" s="7"/>
      <c r="K19" s="12"/>
      <c r="L19" s="12"/>
      <c r="M19" s="12"/>
      <c r="N19" s="21"/>
    </row>
    <row r="20" spans="2:14" ht="14.25" customHeight="1" x14ac:dyDescent="0.3">
      <c r="B20" s="5"/>
      <c r="C20" s="5"/>
      <c r="D20" s="5"/>
      <c r="E20" s="5"/>
      <c r="F20" s="6"/>
      <c r="G20" s="7"/>
      <c r="H20" s="7"/>
      <c r="I20" s="8"/>
      <c r="J20" s="12"/>
      <c r="K20" s="10"/>
      <c r="L20" s="12"/>
      <c r="M20" s="12"/>
    </row>
    <row r="21" spans="2:14" ht="14.25" customHeight="1" x14ac:dyDescent="0.3">
      <c r="C21" s="5"/>
      <c r="D21" s="5"/>
      <c r="E21" s="5"/>
      <c r="F21" s="6"/>
      <c r="G21" s="7"/>
      <c r="H21" s="7"/>
      <c r="I21" s="8"/>
      <c r="J21" s="7"/>
      <c r="K21" s="10"/>
      <c r="L21" s="12"/>
      <c r="M21" s="12"/>
    </row>
    <row r="22" spans="2:14" ht="14.25" customHeight="1" x14ac:dyDescent="0.3">
      <c r="K22" s="21"/>
    </row>
    <row r="23" spans="2:14" ht="14.25" customHeight="1" x14ac:dyDescent="0.3"/>
    <row r="24" spans="2:14" ht="14.25" customHeight="1" x14ac:dyDescent="0.3">
      <c r="J24" s="7"/>
    </row>
    <row r="25" spans="2:14" ht="14.25" customHeight="1" x14ac:dyDescent="0.3">
      <c r="K25" s="9"/>
    </row>
    <row r="26" spans="2:14" ht="14.25" customHeight="1" x14ac:dyDescent="0.3"/>
    <row r="27" spans="2:14" ht="14.25" customHeight="1" x14ac:dyDescent="0.3">
      <c r="L27" s="11"/>
    </row>
    <row r="28" spans="2:14" ht="14.25" customHeight="1" x14ac:dyDescent="0.3"/>
    <row r="29" spans="2:14" ht="14.25" customHeight="1" x14ac:dyDescent="0.3"/>
    <row r="30" spans="2:14" ht="14.25" customHeight="1" x14ac:dyDescent="0.3"/>
    <row r="31" spans="2:14" ht="14.25" customHeight="1" x14ac:dyDescent="0.3"/>
    <row r="32" spans="2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K2:L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paul</dc:creator>
  <cp:lastModifiedBy>Yogesh sharma</cp:lastModifiedBy>
  <dcterms:created xsi:type="dcterms:W3CDTF">2026-08-24T04:58:43Z</dcterms:created>
  <dcterms:modified xsi:type="dcterms:W3CDTF">2026-08-24T10:59:55Z</dcterms:modified>
</cp:coreProperties>
</file>